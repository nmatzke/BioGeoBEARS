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mat471/Downloads/"/>
    </mc:Choice>
  </mc:AlternateContent>
  <xr:revisionPtr revIDLastSave="0" documentId="8_{965972BE-59E0-5143-89C5-4D5EBD9C9915}" xr6:coauthVersionLast="47" xr6:coauthVersionMax="47" xr10:uidLastSave="{00000000-0000-0000-0000-000000000000}"/>
  <bookViews>
    <workbookView xWindow="9180" yWindow="4680" windowWidth="32700" windowHeight="19140" activeTab="1" xr2:uid="{3A0CC89A-BC2B-B041-90EB-6AF75E0CA1C9}"/>
  </bookViews>
  <sheets>
    <sheet name="2026_results" sheetId="2" r:id="rId1"/>
    <sheet name="Sheet3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12" i="3" l="1"/>
  <c r="O11" i="3"/>
  <c r="F10" i="3"/>
  <c r="O10" i="3" s="1"/>
  <c r="F9" i="3"/>
  <c r="O9" i="3" s="1"/>
  <c r="O8" i="3"/>
  <c r="O7" i="3"/>
  <c r="F6" i="3"/>
  <c r="O6" i="3" s="1"/>
  <c r="F5" i="3"/>
  <c r="O5" i="3" s="1"/>
  <c r="S6" i="2"/>
  <c r="S7" i="2"/>
  <c r="S8" i="2"/>
  <c r="S9" i="2"/>
  <c r="S10" i="2"/>
  <c r="S11" i="2"/>
  <c r="S12" i="2"/>
  <c r="S5" i="2"/>
  <c r="R6" i="2"/>
  <c r="R7" i="2"/>
  <c r="R8" i="2"/>
  <c r="R9" i="2"/>
  <c r="R10" i="2"/>
  <c r="R11" i="2"/>
  <c r="R12" i="2"/>
  <c r="R5" i="2"/>
  <c r="Q15" i="2"/>
  <c r="Q6" i="2"/>
  <c r="Q7" i="2"/>
  <c r="Q8" i="2"/>
  <c r="Q9" i="2"/>
  <c r="Q10" i="2"/>
  <c r="Q11" i="2"/>
  <c r="Q12" i="2"/>
  <c r="Q5" i="2"/>
  <c r="P6" i="2"/>
  <c r="P7" i="2"/>
  <c r="P8" i="2"/>
  <c r="P9" i="2"/>
  <c r="P10" i="2"/>
  <c r="P11" i="2"/>
  <c r="P12" i="2"/>
  <c r="P5" i="2"/>
  <c r="O15" i="2"/>
  <c r="F10" i="2"/>
  <c r="O10" i="2" s="1"/>
  <c r="F9" i="2"/>
  <c r="O9" i="2" s="1"/>
  <c r="F6" i="2"/>
  <c r="O6" i="2" s="1"/>
  <c r="F5" i="2"/>
  <c r="O5" i="2" s="1"/>
  <c r="O7" i="2"/>
  <c r="O8" i="2"/>
  <c r="O11" i="2"/>
  <c r="O12" i="2"/>
  <c r="U21" i="3" l="1"/>
  <c r="P6" i="3" s="1"/>
  <c r="Q6" i="3" s="1"/>
  <c r="P5" i="3" l="1"/>
  <c r="Q5" i="3" s="1"/>
  <c r="P9" i="3"/>
  <c r="Q9" i="3" s="1"/>
  <c r="P12" i="3"/>
  <c r="Q12" i="3" s="1"/>
  <c r="P10" i="3"/>
  <c r="Q10" i="3" s="1"/>
  <c r="P8" i="3"/>
  <c r="Q8" i="3" s="1"/>
  <c r="P7" i="3"/>
  <c r="Q7" i="3" s="1"/>
  <c r="P11" i="3"/>
  <c r="Q11" i="3" s="1"/>
  <c r="Q15" i="3" l="1"/>
  <c r="R6" i="3" s="1"/>
  <c r="S6" i="3" s="1"/>
  <c r="R5" i="3" l="1"/>
  <c r="S5" i="3" s="1"/>
  <c r="R9" i="3"/>
  <c r="S9" i="3" s="1"/>
  <c r="R12" i="3"/>
  <c r="S12" i="3" s="1"/>
  <c r="R10" i="3"/>
  <c r="S10" i="3" s="1"/>
  <c r="R8" i="3"/>
  <c r="S8" i="3" s="1"/>
  <c r="R11" i="3"/>
  <c r="S11" i="3" s="1"/>
  <c r="R7" i="3"/>
  <c r="S7" i="3" s="1"/>
</calcChain>
</file>

<file path=xl/sharedStrings.xml><?xml version="1.0" encoding="utf-8"?>
<sst xmlns="http://schemas.openxmlformats.org/spreadsheetml/2006/main" count="104" uniqueCount="35">
  <si>
    <t>d</t>
  </si>
  <si>
    <t>e</t>
  </si>
  <si>
    <t>j</t>
  </si>
  <si>
    <t>x</t>
  </si>
  <si>
    <t>t12</t>
  </si>
  <si>
    <t>t21</t>
  </si>
  <si>
    <t>m2</t>
  </si>
  <si>
    <t>DEC</t>
  </si>
  <si>
    <t>Dispersal depends on:</t>
  </si>
  <si>
    <t>Model</t>
  </si>
  <si>
    <t>Traits lnL</t>
  </si>
  <si>
    <t>Geog lnL</t>
  </si>
  <si>
    <t>Joint lnL</t>
  </si>
  <si>
    <r>
      <t>Number of free parameters (=</t>
    </r>
    <r>
      <rPr>
        <b/>
        <i/>
        <sz val="12"/>
        <color theme="1"/>
        <rFont val="Calibri"/>
        <family val="2"/>
      </rPr>
      <t>k</t>
    </r>
    <r>
      <rPr>
        <b/>
        <sz val="12"/>
        <color theme="1"/>
        <rFont val="Calibri"/>
        <family val="2"/>
      </rPr>
      <t>)</t>
    </r>
  </si>
  <si>
    <t>AIC</t>
  </si>
  <si>
    <t>delta AIC (=difference from best (lowest) AIC)</t>
  </si>
  <si>
    <t>relative likelihood</t>
  </si>
  <si>
    <t>AIC model weight</t>
  </si>
  <si>
    <t>percent AIC weight</t>
  </si>
  <si>
    <t>Nothing</t>
  </si>
  <si>
    <t>-</t>
  </si>
  <si>
    <t>DECJ</t>
  </si>
  <si>
    <t>Trait</t>
  </si>
  <si>
    <r>
      <t>DEC+</t>
    </r>
    <r>
      <rPr>
        <i/>
        <sz val="12"/>
        <color theme="1"/>
        <rFont val="Calibri"/>
        <family val="2"/>
      </rPr>
      <t>m</t>
    </r>
  </si>
  <si>
    <r>
      <t>DECj+</t>
    </r>
    <r>
      <rPr>
        <i/>
        <sz val="12"/>
        <color theme="1"/>
        <rFont val="Calibri"/>
        <family val="2"/>
      </rPr>
      <t>m</t>
    </r>
  </si>
  <si>
    <t>Distance</t>
  </si>
  <si>
    <r>
      <t>DEC+</t>
    </r>
    <r>
      <rPr>
        <i/>
        <sz val="12"/>
        <color theme="1"/>
        <rFont val="Calibri"/>
        <family val="2"/>
      </rPr>
      <t>x</t>
    </r>
  </si>
  <si>
    <r>
      <t>DECj+</t>
    </r>
    <r>
      <rPr>
        <i/>
        <sz val="12"/>
        <color theme="1"/>
        <rFont val="Calibri"/>
        <family val="2"/>
      </rPr>
      <t>x</t>
    </r>
  </si>
  <si>
    <t>Trait+distance</t>
  </si>
  <si>
    <r>
      <t>DEC+</t>
    </r>
    <r>
      <rPr>
        <i/>
        <sz val="12"/>
        <color theme="1"/>
        <rFont val="Calibri"/>
        <family val="2"/>
      </rPr>
      <t>x</t>
    </r>
    <r>
      <rPr>
        <sz val="12"/>
        <color theme="1"/>
        <rFont val="Calibri"/>
        <family val="2"/>
      </rPr>
      <t>+</t>
    </r>
    <r>
      <rPr>
        <i/>
        <sz val="12"/>
        <color theme="1"/>
        <rFont val="Calibri"/>
        <family val="2"/>
      </rPr>
      <t>m</t>
    </r>
  </si>
  <si>
    <r>
      <t>DECj+</t>
    </r>
    <r>
      <rPr>
        <i/>
        <sz val="12"/>
        <color theme="1"/>
        <rFont val="Calibri"/>
        <family val="2"/>
      </rPr>
      <t>x</t>
    </r>
    <r>
      <rPr>
        <sz val="12"/>
        <color theme="1"/>
        <rFont val="Calibri"/>
        <family val="2"/>
      </rPr>
      <t>+</t>
    </r>
    <r>
      <rPr>
        <i/>
        <sz val="12"/>
        <color theme="1"/>
        <rFont val="Calibri"/>
        <family val="2"/>
      </rPr>
      <t>m</t>
    </r>
  </si>
  <si>
    <t>minAIC =</t>
  </si>
  <si>
    <t>sum(rel likes)</t>
  </si>
  <si>
    <t># params</t>
  </si>
  <si>
    <t>AIC 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</si>
</sst>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"/>
  </numFmts>
  <fonts count="8" x14ac:knownFonts="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Calibri"/>
      <family val="2"/>
    </font>
    <font>
      <b/>
      <i/>
      <sz val="12"/>
      <color theme="1"/>
      <name val="Calibri"/>
      <family val="2"/>
    </font>
    <font>
      <b/>
      <i/>
      <sz val="10"/>
      <color theme="1"/>
      <name val="Arial"/>
      <family val="2"/>
    </font>
    <font>
      <sz val="12"/>
      <color theme="1"/>
      <name val="Calibri"/>
      <family val="2"/>
    </font>
    <font>
      <i/>
      <sz val="12"/>
      <color theme="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5" fillId="0" borderId="0" xfId="0" applyFont="1"/>
    <xf numFmtId="0" fontId="7" fillId="0" borderId="0" xfId="0" applyFon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/>
    </xf>
    <xf numFmtId="10" fontId="5" fillId="0" borderId="0" xfId="0" applyNumberFormat="1" applyFont="1" applyAlignment="1">
      <alignment horizontal="center"/>
    </xf>
    <xf numFmtId="169" fontId="5" fillId="0" borderId="0" xfId="0" applyNumberFormat="1" applyFont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7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39E63-115A-5A48-9F2C-0FA1D5EC556A}">
  <dimension ref="B4:S15"/>
  <sheetViews>
    <sheetView workbookViewId="0">
      <selection activeCell="B25" sqref="B25"/>
    </sheetView>
  </sheetViews>
  <sheetFormatPr baseColWidth="10" defaultRowHeight="16" x14ac:dyDescent="0.2"/>
  <cols>
    <col min="2" max="2" width="13.83203125" customWidth="1"/>
    <col min="17" max="18" width="12.1640625" bestFit="1" customWidth="1"/>
  </cols>
  <sheetData>
    <row r="4" spans="2:19" s="7" customFormat="1" ht="85" x14ac:dyDescent="0.2">
      <c r="B4" s="3" t="s">
        <v>8</v>
      </c>
      <c r="C4" s="4" t="s">
        <v>9</v>
      </c>
      <c r="D4" s="4" t="s">
        <v>10</v>
      </c>
      <c r="E4" s="3" t="s">
        <v>11</v>
      </c>
      <c r="F4" s="3" t="s">
        <v>12</v>
      </c>
      <c r="G4" s="4" t="s">
        <v>13</v>
      </c>
      <c r="H4" s="5" t="s">
        <v>0</v>
      </c>
      <c r="I4" s="5" t="s">
        <v>1</v>
      </c>
      <c r="J4" s="5" t="s">
        <v>2</v>
      </c>
      <c r="K4" s="6" t="s">
        <v>3</v>
      </c>
      <c r="L4" s="6" t="s">
        <v>4</v>
      </c>
      <c r="M4" s="6" t="s">
        <v>5</v>
      </c>
      <c r="N4" s="6" t="s">
        <v>6</v>
      </c>
      <c r="O4" s="4" t="s">
        <v>14</v>
      </c>
      <c r="P4" s="4" t="s">
        <v>15</v>
      </c>
      <c r="Q4" s="4" t="s">
        <v>16</v>
      </c>
      <c r="R4" s="4" t="s">
        <v>17</v>
      </c>
      <c r="S4" s="4" t="s">
        <v>18</v>
      </c>
    </row>
    <row r="5" spans="2:19" x14ac:dyDescent="0.2">
      <c r="B5" s="1" t="s">
        <v>19</v>
      </c>
      <c r="C5" s="1" t="s">
        <v>7</v>
      </c>
      <c r="D5" s="8">
        <v>-33.045319999999997</v>
      </c>
      <c r="E5" s="8">
        <v>-317.27420000000001</v>
      </c>
      <c r="F5" s="8">
        <f>D5+E5</f>
        <v>-350.31952000000001</v>
      </c>
      <c r="G5" s="8">
        <v>4</v>
      </c>
      <c r="H5" s="8">
        <v>8.0000000000000002E-3</v>
      </c>
      <c r="I5" s="8">
        <v>5.0000000000000001E-3</v>
      </c>
      <c r="J5" s="8" t="s">
        <v>20</v>
      </c>
      <c r="K5" s="8" t="s">
        <v>20</v>
      </c>
      <c r="L5" s="8">
        <v>5.0000000000000001E-3</v>
      </c>
      <c r="M5" s="8">
        <v>6.0000000000000001E-3</v>
      </c>
      <c r="N5" s="8" t="s">
        <v>20</v>
      </c>
      <c r="O5" s="8">
        <f>-2*(F5-G5)</f>
        <v>708.63904000000002</v>
      </c>
      <c r="P5" s="8">
        <f>O5-O$15</f>
        <v>65.938400000000001</v>
      </c>
      <c r="Q5" s="8">
        <f>EXP(-0.5*P5)</f>
        <v>4.8046125043323903E-15</v>
      </c>
      <c r="R5" s="8">
        <f>Q5/Q$15</f>
        <v>4.8042854286725473E-15</v>
      </c>
      <c r="S5" s="9">
        <f>R5</f>
        <v>4.8042854286725473E-15</v>
      </c>
    </row>
    <row r="6" spans="2:19" x14ac:dyDescent="0.2">
      <c r="C6" s="1" t="s">
        <v>21</v>
      </c>
      <c r="D6" s="8">
        <v>-33.045319999999997</v>
      </c>
      <c r="E6" s="8">
        <v>-306.64550000000003</v>
      </c>
      <c r="F6" s="8">
        <f>D6+E6</f>
        <v>-339.69082000000003</v>
      </c>
      <c r="G6" s="8">
        <v>5</v>
      </c>
      <c r="H6" s="8">
        <v>3.0000000000000001E-3</v>
      </c>
      <c r="I6" s="8">
        <v>1E-3</v>
      </c>
      <c r="J6" s="8">
        <v>2.1999999999999999E-2</v>
      </c>
      <c r="K6" s="8" t="s">
        <v>20</v>
      </c>
      <c r="L6" s="8">
        <v>5.0000000000000001E-3</v>
      </c>
      <c r="M6" s="8">
        <v>6.0000000000000001E-3</v>
      </c>
      <c r="N6" s="8" t="s">
        <v>20</v>
      </c>
      <c r="O6" s="8">
        <f t="shared" ref="O6:O12" si="0">-2*(F6-G6)</f>
        <v>689.38164000000006</v>
      </c>
      <c r="P6" s="8">
        <f t="shared" ref="P6:P12" si="1">O6-O$15</f>
        <v>46.68100000000004</v>
      </c>
      <c r="Q6" s="8">
        <f t="shared" ref="Q6:Q12" si="2">EXP(-0.5*P6)</f>
        <v>7.3004502397790776E-11</v>
      </c>
      <c r="R6" s="8">
        <f t="shared" ref="R6:R12" si="3">Q6/Q$15</f>
        <v>7.2999532591012038E-11</v>
      </c>
      <c r="S6" s="9">
        <f t="shared" ref="S6:S12" si="4">R6</f>
        <v>7.2999532591012038E-11</v>
      </c>
    </row>
    <row r="7" spans="2:19" x14ac:dyDescent="0.2">
      <c r="B7" s="1" t="s">
        <v>22</v>
      </c>
      <c r="C7" s="1" t="s">
        <v>23</v>
      </c>
      <c r="D7" s="8" t="s">
        <v>20</v>
      </c>
      <c r="E7" s="8" t="s">
        <v>20</v>
      </c>
      <c r="F7" s="8">
        <v>-349.92329999999998</v>
      </c>
      <c r="G7" s="8">
        <v>5</v>
      </c>
      <c r="H7" s="8">
        <v>8.0000000000000002E-3</v>
      </c>
      <c r="I7" s="8">
        <v>5.0000000000000001E-3</v>
      </c>
      <c r="J7" s="8" t="s">
        <v>20</v>
      </c>
      <c r="K7" s="8" t="s">
        <v>20</v>
      </c>
      <c r="L7" s="8">
        <v>5.0000000000000001E-3</v>
      </c>
      <c r="M7" s="8">
        <v>5.0000000000000001E-3</v>
      </c>
      <c r="N7" s="8">
        <v>0.93200000000000005</v>
      </c>
      <c r="O7" s="8">
        <f t="shared" si="0"/>
        <v>709.84659999999997</v>
      </c>
      <c r="P7" s="8">
        <f t="shared" si="1"/>
        <v>67.145959999999945</v>
      </c>
      <c r="Q7" s="8">
        <f t="shared" si="2"/>
        <v>2.6268788566059358E-15</v>
      </c>
      <c r="R7" s="8">
        <f t="shared" si="3"/>
        <v>2.6267000309182083E-15</v>
      </c>
      <c r="S7" s="9">
        <f t="shared" si="4"/>
        <v>2.6267000309182083E-15</v>
      </c>
    </row>
    <row r="8" spans="2:19" x14ac:dyDescent="0.2">
      <c r="C8" s="1" t="s">
        <v>24</v>
      </c>
      <c r="D8" s="8" t="s">
        <v>20</v>
      </c>
      <c r="E8" s="8" t="s">
        <v>20</v>
      </c>
      <c r="F8" s="8">
        <v>-339.62661000000003</v>
      </c>
      <c r="G8" s="8">
        <v>6</v>
      </c>
      <c r="H8" s="8">
        <v>3.0000000000000001E-3</v>
      </c>
      <c r="I8" s="8">
        <v>1E-3</v>
      </c>
      <c r="J8" s="8">
        <v>2.1999999999999999E-2</v>
      </c>
      <c r="K8" s="8" t="s">
        <v>20</v>
      </c>
      <c r="L8" s="8">
        <v>5.0000000000000001E-3</v>
      </c>
      <c r="M8" s="8">
        <v>6.0000000000000001E-3</v>
      </c>
      <c r="N8" s="8">
        <v>0.98699999999999999</v>
      </c>
      <c r="O8" s="8">
        <f t="shared" si="0"/>
        <v>691.25322000000006</v>
      </c>
      <c r="P8" s="8">
        <f t="shared" si="1"/>
        <v>48.552580000000034</v>
      </c>
      <c r="Q8" s="8">
        <f t="shared" si="2"/>
        <v>2.863790287944849E-11</v>
      </c>
      <c r="R8" s="8">
        <f t="shared" si="3"/>
        <v>2.8635953344294017E-11</v>
      </c>
      <c r="S8" s="9">
        <f t="shared" si="4"/>
        <v>2.8635953344294017E-11</v>
      </c>
    </row>
    <row r="9" spans="2:19" x14ac:dyDescent="0.2">
      <c r="B9" s="1" t="s">
        <v>25</v>
      </c>
      <c r="C9" s="1" t="s">
        <v>26</v>
      </c>
      <c r="D9" s="8">
        <v>-33.045319999999997</v>
      </c>
      <c r="E9" s="8">
        <v>-311.58042999999998</v>
      </c>
      <c r="F9" s="8">
        <f>D9+E9</f>
        <v>-344.62574999999998</v>
      </c>
      <c r="G9" s="8">
        <v>5</v>
      </c>
      <c r="H9" s="8">
        <v>1.4E-2</v>
      </c>
      <c r="I9" s="8">
        <v>5.0000000000000001E-3</v>
      </c>
      <c r="J9" s="8" t="s">
        <v>20</v>
      </c>
      <c r="K9" s="8">
        <v>-0.16800000000000001</v>
      </c>
      <c r="L9" s="8">
        <v>5.0000000000000001E-3</v>
      </c>
      <c r="M9" s="8">
        <v>6.0000000000000001E-3</v>
      </c>
      <c r="N9" s="8" t="s">
        <v>20</v>
      </c>
      <c r="O9" s="8">
        <f t="shared" si="0"/>
        <v>699.25149999999996</v>
      </c>
      <c r="P9" s="8">
        <f t="shared" si="1"/>
        <v>56.550859999999943</v>
      </c>
      <c r="Q9" s="8">
        <f t="shared" si="2"/>
        <v>5.2497277017370225E-13</v>
      </c>
      <c r="R9" s="8">
        <f t="shared" si="3"/>
        <v>5.2493703247059939E-13</v>
      </c>
      <c r="S9" s="9">
        <f t="shared" si="4"/>
        <v>5.2493703247059939E-13</v>
      </c>
    </row>
    <row r="10" spans="2:19" x14ac:dyDescent="0.2">
      <c r="C10" s="1" t="s">
        <v>27</v>
      </c>
      <c r="D10" s="8">
        <v>-33.045319999999997</v>
      </c>
      <c r="E10" s="8">
        <v>-291.90131000000002</v>
      </c>
      <c r="F10" s="8">
        <f>D10+E10</f>
        <v>-324.94663000000003</v>
      </c>
      <c r="G10" s="8">
        <v>6</v>
      </c>
      <c r="H10" s="8">
        <v>1.4999999999999999E-2</v>
      </c>
      <c r="I10" s="8">
        <v>1E-3</v>
      </c>
      <c r="J10" s="8">
        <v>8.3000000000000004E-2</v>
      </c>
      <c r="K10" s="8">
        <v>-0.432</v>
      </c>
      <c r="L10" s="8">
        <v>5.0000000000000001E-3</v>
      </c>
      <c r="M10" s="8">
        <v>6.0000000000000001E-3</v>
      </c>
      <c r="N10" s="8" t="s">
        <v>20</v>
      </c>
      <c r="O10" s="8">
        <f t="shared" si="0"/>
        <v>661.89326000000005</v>
      </c>
      <c r="P10" s="8">
        <f t="shared" si="1"/>
        <v>19.192620000000034</v>
      </c>
      <c r="Q10" s="8">
        <f t="shared" si="2"/>
        <v>6.7979117196805802E-5</v>
      </c>
      <c r="R10" s="8">
        <f t="shared" si="3"/>
        <v>6.7974489494864669E-5</v>
      </c>
      <c r="S10" s="9">
        <f t="shared" si="4"/>
        <v>6.7974489494864669E-5</v>
      </c>
    </row>
    <row r="11" spans="2:19" x14ac:dyDescent="0.2">
      <c r="B11" s="1" t="s">
        <v>28</v>
      </c>
      <c r="C11" s="1" t="s">
        <v>29</v>
      </c>
      <c r="D11" s="8" t="s">
        <v>20</v>
      </c>
      <c r="E11" s="8" t="s">
        <v>20</v>
      </c>
      <c r="F11" s="8">
        <v>-331.46082999999999</v>
      </c>
      <c r="G11" s="8">
        <v>6</v>
      </c>
      <c r="H11" s="8">
        <v>0.26600000000000001</v>
      </c>
      <c r="I11" s="8">
        <v>6.0000000000000001E-3</v>
      </c>
      <c r="J11" s="8" t="s">
        <v>20</v>
      </c>
      <c r="K11" s="8">
        <v>-1.1359999999999999</v>
      </c>
      <c r="L11" s="8">
        <v>5.0000000000000001E-3</v>
      </c>
      <c r="M11" s="8">
        <v>5.0000000000000001E-3</v>
      </c>
      <c r="N11" s="8">
        <v>0.99099999999999999</v>
      </c>
      <c r="O11" s="8">
        <f t="shared" si="0"/>
        <v>674.92165999999997</v>
      </c>
      <c r="P11" s="8">
        <f t="shared" si="1"/>
        <v>32.221019999999953</v>
      </c>
      <c r="Q11" s="8">
        <f t="shared" si="2"/>
        <v>1.0076144948957942E-7</v>
      </c>
      <c r="R11" s="8">
        <f t="shared" si="3"/>
        <v>1.0075459011901648E-7</v>
      </c>
      <c r="S11" s="9">
        <f t="shared" si="4"/>
        <v>1.0075459011901648E-7</v>
      </c>
    </row>
    <row r="12" spans="2:19" x14ac:dyDescent="0.2">
      <c r="C12" s="1" t="s">
        <v>30</v>
      </c>
      <c r="D12" s="8" t="s">
        <v>20</v>
      </c>
      <c r="E12" s="8" t="s">
        <v>20</v>
      </c>
      <c r="F12" s="8">
        <v>-314.35032000000001</v>
      </c>
      <c r="G12" s="8">
        <v>7</v>
      </c>
      <c r="H12" s="8">
        <v>8.4000000000000005E-2</v>
      </c>
      <c r="I12" s="8">
        <v>0</v>
      </c>
      <c r="J12" s="8">
        <v>0.60499999999999998</v>
      </c>
      <c r="K12" s="8">
        <v>-1.0049999999999999</v>
      </c>
      <c r="L12" s="8">
        <v>4.0000000000000001E-3</v>
      </c>
      <c r="M12" s="8">
        <v>6.0000000000000001E-3</v>
      </c>
      <c r="N12" s="8">
        <v>0.49099999999999999</v>
      </c>
      <c r="O12" s="8">
        <f t="shared" si="0"/>
        <v>642.70064000000002</v>
      </c>
      <c r="P12" s="8">
        <f t="shared" si="1"/>
        <v>0</v>
      </c>
      <c r="Q12" s="8">
        <f t="shared" si="2"/>
        <v>1</v>
      </c>
      <c r="R12" s="8">
        <f t="shared" si="3"/>
        <v>0.99993192465374725</v>
      </c>
      <c r="S12" s="9">
        <f t="shared" si="4"/>
        <v>0.99993192465374725</v>
      </c>
    </row>
    <row r="13" spans="2:19" x14ac:dyDescent="0.2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2:19" x14ac:dyDescent="0.2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1" t="s">
        <v>31</v>
      </c>
      <c r="P14" s="1" t="s">
        <v>32</v>
      </c>
    </row>
    <row r="15" spans="2:19" x14ac:dyDescent="0.2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1">
        <f>MIN(O5:O12)</f>
        <v>642.70064000000002</v>
      </c>
      <c r="P15" s="2"/>
      <c r="Q15" s="1">
        <f>SUM(Q5:Q12)</f>
        <v>1.000068079980821</v>
      </c>
      <c r="R15" s="2"/>
      <c r="S1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3D6BB-E2D0-0942-B766-B1066AE8062B}">
  <dimension ref="B4:U21"/>
  <sheetViews>
    <sheetView tabSelected="1" workbookViewId="0">
      <selection activeCell="D17" sqref="D17"/>
    </sheetView>
  </sheetViews>
  <sheetFormatPr baseColWidth="10" defaultRowHeight="16" x14ac:dyDescent="0.2"/>
  <cols>
    <col min="2" max="2" width="13.83203125" customWidth="1"/>
    <col min="3" max="3" width="9.83203125" customWidth="1"/>
    <col min="4" max="4" width="8.1640625" customWidth="1"/>
    <col min="5" max="6" width="7.33203125" customWidth="1"/>
    <col min="7" max="15" width="8.1640625" customWidth="1"/>
    <col min="16" max="18" width="8.1640625" hidden="1" customWidth="1"/>
    <col min="19" max="19" width="8.1640625" customWidth="1"/>
  </cols>
  <sheetData>
    <row r="4" spans="2:19" s="7" customFormat="1" ht="36" customHeight="1" x14ac:dyDescent="0.2">
      <c r="B4" s="11" t="s">
        <v>8</v>
      </c>
      <c r="C4" s="12" t="s">
        <v>9</v>
      </c>
      <c r="D4" s="12" t="s">
        <v>10</v>
      </c>
      <c r="E4" s="11" t="s">
        <v>11</v>
      </c>
      <c r="F4" s="11" t="s">
        <v>12</v>
      </c>
      <c r="G4" s="12" t="s">
        <v>33</v>
      </c>
      <c r="H4" s="13" t="s">
        <v>0</v>
      </c>
      <c r="I4" s="13" t="s">
        <v>1</v>
      </c>
      <c r="J4" s="13" t="s">
        <v>2</v>
      </c>
      <c r="K4" s="14" t="s">
        <v>3</v>
      </c>
      <c r="L4" s="14" t="s">
        <v>4</v>
      </c>
      <c r="M4" s="14" t="s">
        <v>5</v>
      </c>
      <c r="N4" s="14" t="s">
        <v>6</v>
      </c>
      <c r="O4" s="12" t="s">
        <v>14</v>
      </c>
      <c r="P4" s="12" t="s">
        <v>15</v>
      </c>
      <c r="Q4" s="12" t="s">
        <v>16</v>
      </c>
      <c r="R4" s="12" t="s">
        <v>17</v>
      </c>
      <c r="S4" s="12" t="s">
        <v>34</v>
      </c>
    </row>
    <row r="5" spans="2:19" x14ac:dyDescent="0.2">
      <c r="B5" s="1" t="s">
        <v>19</v>
      </c>
      <c r="C5" s="1" t="s">
        <v>7</v>
      </c>
      <c r="D5" s="10">
        <v>-33.045319999999997</v>
      </c>
      <c r="E5" s="10">
        <v>-317.27420000000001</v>
      </c>
      <c r="F5" s="10">
        <f>D5+E5</f>
        <v>-350.31952000000001</v>
      </c>
      <c r="G5" s="8">
        <v>4</v>
      </c>
      <c r="H5" s="8">
        <v>8.0000000000000002E-3</v>
      </c>
      <c r="I5" s="8">
        <v>5.0000000000000001E-3</v>
      </c>
      <c r="J5" s="8" t="s">
        <v>20</v>
      </c>
      <c r="K5" s="8" t="s">
        <v>20</v>
      </c>
      <c r="L5" s="8">
        <v>5.0000000000000001E-3</v>
      </c>
      <c r="M5" s="8">
        <v>6.0000000000000001E-3</v>
      </c>
      <c r="N5" s="8" t="s">
        <v>20</v>
      </c>
      <c r="O5" s="10">
        <f>-2*(F5-G5)</f>
        <v>708.63904000000002</v>
      </c>
      <c r="P5" s="8">
        <f>O5-U$21</f>
        <v>65.938400000000001</v>
      </c>
      <c r="Q5" s="8">
        <f>EXP(-0.5*P5)</f>
        <v>4.8046125043323903E-15</v>
      </c>
      <c r="R5" s="8">
        <f>Q5/Q$15</f>
        <v>4.8042854286725473E-15</v>
      </c>
      <c r="S5" s="9">
        <f>R5</f>
        <v>4.8042854286725473E-15</v>
      </c>
    </row>
    <row r="6" spans="2:19" x14ac:dyDescent="0.2">
      <c r="C6" s="1" t="s">
        <v>21</v>
      </c>
      <c r="D6" s="10">
        <v>-33.045319999999997</v>
      </c>
      <c r="E6" s="10">
        <v>-306.64550000000003</v>
      </c>
      <c r="F6" s="10">
        <f>D6+E6</f>
        <v>-339.69082000000003</v>
      </c>
      <c r="G6" s="8">
        <v>5</v>
      </c>
      <c r="H6" s="8">
        <v>3.0000000000000001E-3</v>
      </c>
      <c r="I6" s="8">
        <v>1E-3</v>
      </c>
      <c r="J6" s="8">
        <v>2.1999999999999999E-2</v>
      </c>
      <c r="K6" s="8" t="s">
        <v>20</v>
      </c>
      <c r="L6" s="8">
        <v>5.0000000000000001E-3</v>
      </c>
      <c r="M6" s="8">
        <v>6.0000000000000001E-3</v>
      </c>
      <c r="N6" s="8" t="s">
        <v>20</v>
      </c>
      <c r="O6" s="10">
        <f t="shared" ref="O6:O12" si="0">-2*(F6-G6)</f>
        <v>689.38164000000006</v>
      </c>
      <c r="P6" s="8">
        <f>O6-U$21</f>
        <v>46.68100000000004</v>
      </c>
      <c r="Q6" s="8">
        <f t="shared" ref="Q6:Q12" si="1">EXP(-0.5*P6)</f>
        <v>7.3004502397790776E-11</v>
      </c>
      <c r="R6" s="8">
        <f t="shared" ref="R6:R12" si="2">Q6/Q$15</f>
        <v>7.2999532591012038E-11</v>
      </c>
      <c r="S6" s="9">
        <f t="shared" ref="S6:S12" si="3">R6</f>
        <v>7.2999532591012038E-11</v>
      </c>
    </row>
    <row r="7" spans="2:19" x14ac:dyDescent="0.2">
      <c r="B7" s="1" t="s">
        <v>22</v>
      </c>
      <c r="C7" s="1" t="s">
        <v>23</v>
      </c>
      <c r="D7" s="10" t="s">
        <v>20</v>
      </c>
      <c r="E7" s="10" t="s">
        <v>20</v>
      </c>
      <c r="F7" s="10">
        <v>-349.92329999999998</v>
      </c>
      <c r="G7" s="8">
        <v>5</v>
      </c>
      <c r="H7" s="8">
        <v>8.0000000000000002E-3</v>
      </c>
      <c r="I7" s="8">
        <v>5.0000000000000001E-3</v>
      </c>
      <c r="J7" s="8" t="s">
        <v>20</v>
      </c>
      <c r="K7" s="8" t="s">
        <v>20</v>
      </c>
      <c r="L7" s="8">
        <v>5.0000000000000001E-3</v>
      </c>
      <c r="M7" s="8">
        <v>5.0000000000000001E-3</v>
      </c>
      <c r="N7" s="8">
        <v>0.93200000000000005</v>
      </c>
      <c r="O7" s="10">
        <f t="shared" si="0"/>
        <v>709.84659999999997</v>
      </c>
      <c r="P7" s="8">
        <f>O7-U$21</f>
        <v>67.145959999999945</v>
      </c>
      <c r="Q7" s="8">
        <f t="shared" si="1"/>
        <v>2.6268788566059358E-15</v>
      </c>
      <c r="R7" s="8">
        <f t="shared" si="2"/>
        <v>2.6267000309182083E-15</v>
      </c>
      <c r="S7" s="9">
        <f t="shared" si="3"/>
        <v>2.6267000309182083E-15</v>
      </c>
    </row>
    <row r="8" spans="2:19" x14ac:dyDescent="0.2">
      <c r="C8" s="1" t="s">
        <v>24</v>
      </c>
      <c r="D8" s="10" t="s">
        <v>20</v>
      </c>
      <c r="E8" s="10" t="s">
        <v>20</v>
      </c>
      <c r="F8" s="10">
        <v>-339.62661000000003</v>
      </c>
      <c r="G8" s="8">
        <v>6</v>
      </c>
      <c r="H8" s="8">
        <v>3.0000000000000001E-3</v>
      </c>
      <c r="I8" s="8">
        <v>1E-3</v>
      </c>
      <c r="J8" s="8">
        <v>2.1999999999999999E-2</v>
      </c>
      <c r="K8" s="8" t="s">
        <v>20</v>
      </c>
      <c r="L8" s="8">
        <v>5.0000000000000001E-3</v>
      </c>
      <c r="M8" s="8">
        <v>6.0000000000000001E-3</v>
      </c>
      <c r="N8" s="8">
        <v>0.98699999999999999</v>
      </c>
      <c r="O8" s="10">
        <f t="shared" si="0"/>
        <v>691.25322000000006</v>
      </c>
      <c r="P8" s="8">
        <f>O8-U$21</f>
        <v>48.552580000000034</v>
      </c>
      <c r="Q8" s="8">
        <f t="shared" si="1"/>
        <v>2.863790287944849E-11</v>
      </c>
      <c r="R8" s="8">
        <f t="shared" si="2"/>
        <v>2.8635953344294017E-11</v>
      </c>
      <c r="S8" s="9">
        <f t="shared" si="3"/>
        <v>2.8635953344294017E-11</v>
      </c>
    </row>
    <row r="9" spans="2:19" x14ac:dyDescent="0.2">
      <c r="B9" s="1" t="s">
        <v>25</v>
      </c>
      <c r="C9" s="1" t="s">
        <v>26</v>
      </c>
      <c r="D9" s="10">
        <v>-33.045319999999997</v>
      </c>
      <c r="E9" s="10">
        <v>-311.58042999999998</v>
      </c>
      <c r="F9" s="10">
        <f>D9+E9</f>
        <v>-344.62574999999998</v>
      </c>
      <c r="G9" s="8">
        <v>5</v>
      </c>
      <c r="H9" s="8">
        <v>1.4E-2</v>
      </c>
      <c r="I9" s="8">
        <v>5.0000000000000001E-3</v>
      </c>
      <c r="J9" s="8" t="s">
        <v>20</v>
      </c>
      <c r="K9" s="8">
        <v>-0.16800000000000001</v>
      </c>
      <c r="L9" s="8">
        <v>5.0000000000000001E-3</v>
      </c>
      <c r="M9" s="8">
        <v>6.0000000000000001E-3</v>
      </c>
      <c r="N9" s="8" t="s">
        <v>20</v>
      </c>
      <c r="O9" s="10">
        <f t="shared" si="0"/>
        <v>699.25149999999996</v>
      </c>
      <c r="P9" s="8">
        <f>O9-U$21</f>
        <v>56.550859999999943</v>
      </c>
      <c r="Q9" s="8">
        <f t="shared" si="1"/>
        <v>5.2497277017370225E-13</v>
      </c>
      <c r="R9" s="8">
        <f t="shared" si="2"/>
        <v>5.2493703247059939E-13</v>
      </c>
      <c r="S9" s="9">
        <f t="shared" si="3"/>
        <v>5.2493703247059939E-13</v>
      </c>
    </row>
    <row r="10" spans="2:19" x14ac:dyDescent="0.2">
      <c r="C10" s="1" t="s">
        <v>27</v>
      </c>
      <c r="D10" s="10">
        <v>-33.045319999999997</v>
      </c>
      <c r="E10" s="10">
        <v>-291.90131000000002</v>
      </c>
      <c r="F10" s="10">
        <f>D10+E10</f>
        <v>-324.94663000000003</v>
      </c>
      <c r="G10" s="8">
        <v>6</v>
      </c>
      <c r="H10" s="8">
        <v>1.4999999999999999E-2</v>
      </c>
      <c r="I10" s="8">
        <v>1E-3</v>
      </c>
      <c r="J10" s="8">
        <v>8.3000000000000004E-2</v>
      </c>
      <c r="K10" s="8">
        <v>-0.432</v>
      </c>
      <c r="L10" s="8">
        <v>5.0000000000000001E-3</v>
      </c>
      <c r="M10" s="8">
        <v>6.0000000000000001E-3</v>
      </c>
      <c r="N10" s="8" t="s">
        <v>20</v>
      </c>
      <c r="O10" s="10">
        <f t="shared" si="0"/>
        <v>661.89326000000005</v>
      </c>
      <c r="P10" s="8">
        <f>O10-U$21</f>
        <v>19.192620000000034</v>
      </c>
      <c r="Q10" s="8">
        <f t="shared" si="1"/>
        <v>6.7979117196805802E-5</v>
      </c>
      <c r="R10" s="8">
        <f t="shared" si="2"/>
        <v>6.7974489494864669E-5</v>
      </c>
      <c r="S10" s="9">
        <f t="shared" si="3"/>
        <v>6.7974489494864669E-5</v>
      </c>
    </row>
    <row r="11" spans="2:19" x14ac:dyDescent="0.2">
      <c r="B11" s="1" t="s">
        <v>28</v>
      </c>
      <c r="C11" s="1" t="s">
        <v>29</v>
      </c>
      <c r="D11" s="10" t="s">
        <v>20</v>
      </c>
      <c r="E11" s="10" t="s">
        <v>20</v>
      </c>
      <c r="F11" s="10">
        <v>-331.46082999999999</v>
      </c>
      <c r="G11" s="8">
        <v>6</v>
      </c>
      <c r="H11" s="8">
        <v>0.26600000000000001</v>
      </c>
      <c r="I11" s="8">
        <v>6.0000000000000001E-3</v>
      </c>
      <c r="J11" s="8" t="s">
        <v>20</v>
      </c>
      <c r="K11" s="8">
        <v>-1.1359999999999999</v>
      </c>
      <c r="L11" s="8">
        <v>5.0000000000000001E-3</v>
      </c>
      <c r="M11" s="8">
        <v>5.0000000000000001E-3</v>
      </c>
      <c r="N11" s="8">
        <v>0.99099999999999999</v>
      </c>
      <c r="O11" s="10">
        <f t="shared" si="0"/>
        <v>674.92165999999997</v>
      </c>
      <c r="P11" s="8">
        <f>O11-U$21</f>
        <v>32.221019999999953</v>
      </c>
      <c r="Q11" s="8">
        <f t="shared" si="1"/>
        <v>1.0076144948957942E-7</v>
      </c>
      <c r="R11" s="8">
        <f t="shared" si="2"/>
        <v>1.0075459011901648E-7</v>
      </c>
      <c r="S11" s="9">
        <f t="shared" si="3"/>
        <v>1.0075459011901648E-7</v>
      </c>
    </row>
    <row r="12" spans="2:19" x14ac:dyDescent="0.2">
      <c r="C12" s="1" t="s">
        <v>30</v>
      </c>
      <c r="D12" s="10" t="s">
        <v>20</v>
      </c>
      <c r="E12" s="10" t="s">
        <v>20</v>
      </c>
      <c r="F12" s="10">
        <v>-314.35032000000001</v>
      </c>
      <c r="G12" s="8">
        <v>7</v>
      </c>
      <c r="H12" s="8">
        <v>8.4000000000000005E-2</v>
      </c>
      <c r="I12" s="8">
        <v>0</v>
      </c>
      <c r="J12" s="8">
        <v>0.60499999999999998</v>
      </c>
      <c r="K12" s="8">
        <v>-1.0049999999999999</v>
      </c>
      <c r="L12" s="8">
        <v>4.0000000000000001E-3</v>
      </c>
      <c r="M12" s="8">
        <v>6.0000000000000001E-3</v>
      </c>
      <c r="N12" s="8">
        <v>0.49099999999999999</v>
      </c>
      <c r="O12" s="10">
        <f t="shared" si="0"/>
        <v>642.70064000000002</v>
      </c>
      <c r="P12" s="8">
        <f>O12-U$21</f>
        <v>0</v>
      </c>
      <c r="Q12" s="8">
        <f t="shared" si="1"/>
        <v>1</v>
      </c>
      <c r="R12" s="8">
        <f t="shared" si="2"/>
        <v>0.99993192465374725</v>
      </c>
      <c r="S12" s="9">
        <f t="shared" si="3"/>
        <v>0.99993192465374725</v>
      </c>
    </row>
    <row r="13" spans="2:19" x14ac:dyDescent="0.2"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</row>
    <row r="14" spans="2:19" x14ac:dyDescent="0.2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P14" s="1" t="s">
        <v>32</v>
      </c>
    </row>
    <row r="15" spans="2:19" x14ac:dyDescent="0.2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P15" s="2"/>
      <c r="Q15" s="1">
        <f>SUM(Q5:Q12)</f>
        <v>1.000068079980821</v>
      </c>
      <c r="R15" s="2"/>
      <c r="S15" s="2"/>
    </row>
    <row r="20" spans="21:21" x14ac:dyDescent="0.2">
      <c r="U20" s="1" t="s">
        <v>31</v>
      </c>
    </row>
    <row r="21" spans="21:21" x14ac:dyDescent="0.2">
      <c r="U21" s="1">
        <f>MIN(O5:O12)</f>
        <v>642.70064000000002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75eb9d1-7479-4f8a-9240-cc5b19dbbc64}" enabled="1" method="Standard" siteId="{d1b36e95-0d50-42e9-958f-b63fa906bea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2026_results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Matzke</dc:creator>
  <cp:lastModifiedBy>Nicholas Matzke</cp:lastModifiedBy>
  <dcterms:created xsi:type="dcterms:W3CDTF">2026-09-26T07:56:58Z</dcterms:created>
  <dcterms:modified xsi:type="dcterms:W3CDTF">2026-09-26T08:09:25Z</dcterms:modified>
</cp:coreProperties>
</file>